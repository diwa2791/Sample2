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lementation Plan" sheetId="1" state="visible" r:id="rId3"/>
    <sheet name="Timeline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<sst xmlns="http://schemas.openxmlformats.org/spreadsheetml/2006/main" count="105" uniqueCount="88">
  <si>
    <t xml:space="preserve">PRODUCTION DEPLOYMENT – ADO PIPELINE IMPLEMENTATION PLAN</t>
  </si>
  <si>
    <t xml:space="preserve">Estimated Total Window  ·  Best Case: ~4 hrs 10 min   |   Worst Case: ~6 hrs 15 min</t>
  </si>
  <si>
    <t xml:space="preserve">#</t>
  </si>
  <si>
    <t xml:space="preserve">Task / Activity</t>
  </si>
  <si>
    <t xml:space="preserve">Detail / Sub-steps</t>
  </si>
  <si>
    <t xml:space="preserve">Est. Duration
(min)</t>
  </si>
  <si>
    <t xml:space="preserve">Cumulative
Time (min)</t>
  </si>
  <si>
    <t xml:space="preserve">Start
(T+ min)</t>
  </si>
  <si>
    <t xml:space="preserve">End
(T+ min)</t>
  </si>
  <si>
    <t xml:space="preserve">Parallelism</t>
  </si>
  <si>
    <t xml:space="preserve">Dependencies / Risks</t>
  </si>
  <si>
    <t xml:space="preserve">Stop Frontline Routers</t>
  </si>
  <si>
    <t xml:space="preserve">Graceful shutdown of all frontline router instances via ADO pipeline</t>
  </si>
  <si>
    <t xml:space="preserve">15</t>
  </si>
  <si>
    <t xml:space="preserve">Serial</t>
  </si>
  <si>
    <t xml:space="preserve">All downstream deployments depend on this step</t>
  </si>
  <si>
    <t xml:space="preserve">DDL Pipeline Deployment</t>
  </si>
  <si>
    <t xml:space="preserve">Execute DDL migration scripts; schema changes applied to target DBs</t>
  </si>
  <si>
    <t xml:space="preserve">20–30</t>
  </si>
  <si>
    <t xml:space="preserve">Must complete before any pipeline deployments</t>
  </si>
  <si>
    <t xml:space="preserve">Postgres Pipeline Deployments (×15)</t>
  </si>
  <si>
    <t xml:space="preserve">Deploy each of the 15 Postgres pipelines sequentially
~10–15 min each</t>
  </si>
  <si>
    <t xml:space="preserve">150–225</t>
  </si>
  <si>
    <t xml:space="preserve">Serial – NO parallel</t>
  </si>
  <si>
    <t xml:space="preserve">Certificate dependencies; run one at a time</t>
  </si>
  <si>
    <t xml:space="preserve">Oracle Pipeline Deployments (×8)</t>
  </si>
  <si>
    <t xml:space="preserve">Deploy each of the 8 Oracle pipelines sequentially
~5–10 min each</t>
  </si>
  <si>
    <t xml:space="preserve">40–80</t>
  </si>
  <si>
    <t xml:space="preserve">Must follow Postgres deployments</t>
  </si>
  <si>
    <t xml:space="preserve">4P</t>
  </si>
  <si>
    <t xml:space="preserve">Topic Alter</t>
  </si>
  <si>
    <t xml:space="preserve">Run Kafka/topic alter scripts in parallel while DB pipelines (Step 3/4) execute</t>
  </si>
  <si>
    <t xml:space="preserve">30–45</t>
  </si>
  <si>
    <t xml:space="preserve">✔ PARALLEL with Step 3 &amp; 4</t>
  </si>
  <si>
    <t xml:space="preserve">Can run concurrently; monitor for conflicts</t>
  </si>
  <si>
    <t xml:space="preserve">Source Pipeline Deployments (×3)</t>
  </si>
  <si>
    <t xml:space="preserve">Deploy 3 source pipelines sequentially
~60 min each</t>
  </si>
  <si>
    <t xml:space="preserve">180</t>
  </si>
  <si>
    <t xml:space="preserve">Certificate dependency prevents parallel execution</t>
  </si>
  <si>
    <t xml:space="preserve">Verification, Closure &amp; Confirmation</t>
  </si>
  <si>
    <t xml:space="preserve">Smoke tests, data-flow checks, sign-off from leads</t>
  </si>
  <si>
    <t xml:space="preserve">15–20</t>
  </si>
  <si>
    <t xml:space="preserve">All pipelines must be healthy before sign-off</t>
  </si>
  <si>
    <t xml:space="preserve">Start Frontline Routers</t>
  </si>
  <si>
    <t xml:space="preserve">Bring frontline router instances back online via ADO pipeline</t>
  </si>
  <si>
    <t xml:space="preserve">10</t>
  </si>
  <si>
    <t xml:space="preserve">Routers must start only after full verification</t>
  </si>
  <si>
    <t xml:space="preserve">Log Verification</t>
  </si>
  <si>
    <t xml:space="preserve">Review deployment logs, error rates, and pipeline metrics</t>
  </si>
  <si>
    <t xml:space="preserve">Final health check before deployment closure</t>
  </si>
  <si>
    <t xml:space="preserve">TOTAL ESTIMATED MAINTENANCE WINDOW</t>
  </si>
  <si>
    <t xml:space="preserve">Best: 250 min
Worst: 420 min</t>
  </si>
  <si>
    <t xml:space="preserve">⚠  Topic Alter (Step 4P) runs in parallel with Postgres &amp; Oracle deployments — it does NOT add to the critical path.  Source Pipelines (Step 5) are the longest serial block.</t>
  </si>
  <si>
    <t xml:space="preserve">LEGEND</t>
  </si>
  <si>
    <t xml:space="preserve">  </t>
  </si>
  <si>
    <t xml:space="preserve">Parallel task (non-critical path)</t>
  </si>
  <si>
    <t xml:space="preserve">Serial task step #</t>
  </si>
  <si>
    <t xml:space="preserve">Dependency / caution</t>
  </si>
  <si>
    <t xml:space="preserve">Summary total</t>
  </si>
  <si>
    <t xml:space="preserve">DEPLOYMENT TIMELINE SUMMARY  –  Critical Path vs. Parallel Activities</t>
  </si>
  <si>
    <t xml:space="preserve">Activity</t>
  </si>
  <si>
    <t xml:space="preserve">Best (min)</t>
  </si>
  <si>
    <t xml:space="preserve">Worst (min)</t>
  </si>
  <si>
    <t xml:space="preserve">Cumulative
Best (min)</t>
  </si>
  <si>
    <t xml:space="preserve">Cumulative
Worst (min)</t>
  </si>
  <si>
    <t xml:space="preserve">Notes</t>
  </si>
  <si>
    <t xml:space="preserve">1</t>
  </si>
  <si>
    <t xml:space="preserve">Critical path start</t>
  </si>
  <si>
    <t xml:space="preserve">2</t>
  </si>
  <si>
    <t xml:space="preserve">Blocking step</t>
  </si>
  <si>
    <t xml:space="preserve">3</t>
  </si>
  <si>
    <t xml:space="preserve">Postgres Pipelines (×15 serial)</t>
  </si>
  <si>
    <t xml:space="preserve">Longest Postgres block</t>
  </si>
  <si>
    <t xml:space="preserve">Topic Alter  ← PARALLEL →</t>
  </si>
  <si>
    <t xml:space="preserve">–</t>
  </si>
  <si>
    <t xml:space="preserve">Runs during Step 3; non-critical</t>
  </si>
  <si>
    <t xml:space="preserve">4</t>
  </si>
  <si>
    <t xml:space="preserve">Oracle Pipelines (×8 serial)</t>
  </si>
  <si>
    <t xml:space="preserve">5</t>
  </si>
  <si>
    <t xml:space="preserve">Source Pipelines (×3 serial)</t>
  </si>
  <si>
    <t xml:space="preserve">Cert dependency – no parallelism</t>
  </si>
  <si>
    <t xml:space="preserve">6</t>
  </si>
  <si>
    <t xml:space="preserve">Verification &amp; Sign-off</t>
  </si>
  <si>
    <t xml:space="preserve">7</t>
  </si>
  <si>
    <t xml:space="preserve">8</t>
  </si>
  <si>
    <t xml:space="preserve">Final closure</t>
  </si>
  <si>
    <t xml:space="preserve">TOTAL WINDOW</t>
  </si>
  <si>
    <t xml:space="preserve">Topic Alter runs in parallel – not on critical path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</si>
</sst>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9"/>
      <color rgb="FFC00000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9"/>
      <color rgb="FF375623"/>
      <name val="Calibri"/>
      <family val="0"/>
      <charset val="1"/>
    </font>
    <font>
      <i val="true"/>
      <sz val="9"/>
      <color rgb="FF7F3F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00000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2E75B6"/>
      </left>
      <right style="medium">
        <color rgb="FF2E75B6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7" min="4" style="0" width="14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6" hidden="false" customHeight="true" outlineLevel="0" collapsed="false"/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8" hidden="false" customHeight="true" outlineLevel="0" collapsed="false">
      <c r="A5" s="4" t="n">
        <v>1</v>
      </c>
      <c r="B5" s="5" t="s">
        <v>11</v>
      </c>
      <c r="C5" s="6" t="s">
        <v>12</v>
      </c>
      <c r="D5" s="7" t="s">
        <v>13</v>
      </c>
      <c r="E5" s="8" t="n">
        <f aca="false">15</f>
        <v>15</v>
      </c>
      <c r="F5" s="7" t="n">
        <v>0</v>
      </c>
      <c r="G5" s="7" t="n">
        <v>15</v>
      </c>
      <c r="H5" s="7" t="s">
        <v>14</v>
      </c>
      <c r="I5" s="6" t="s">
        <v>15</v>
      </c>
    </row>
    <row r="6" customFormat="false" ht="48" hidden="false" customHeight="true" outlineLevel="0" collapsed="false">
      <c r="A6" s="4" t="n">
        <v>2</v>
      </c>
      <c r="B6" s="9" t="s">
        <v>16</v>
      </c>
      <c r="C6" s="10" t="s">
        <v>17</v>
      </c>
      <c r="D6" s="11" t="s">
        <v>18</v>
      </c>
      <c r="E6" s="12" t="n">
        <f aca="false">45</f>
        <v>45</v>
      </c>
      <c r="F6" s="11" t="n">
        <v>15</v>
      </c>
      <c r="G6" s="11" t="n">
        <v>45</v>
      </c>
      <c r="H6" s="11" t="s">
        <v>14</v>
      </c>
      <c r="I6" s="10" t="s">
        <v>19</v>
      </c>
    </row>
    <row r="7" customFormat="false" ht="48" hidden="false" customHeight="true" outlineLevel="0" collapsed="false">
      <c r="A7" s="4" t="n">
        <v>3</v>
      </c>
      <c r="B7" s="5" t="s">
        <v>20</v>
      </c>
      <c r="C7" s="6" t="s">
        <v>21</v>
      </c>
      <c r="D7" s="7" t="s">
        <v>22</v>
      </c>
      <c r="E7" s="8" t="n">
        <f aca="false">270</f>
        <v>270</v>
      </c>
      <c r="F7" s="7" t="n">
        <v>45</v>
      </c>
      <c r="G7" s="7" t="n">
        <v>270</v>
      </c>
      <c r="H7" s="13" t="s">
        <v>23</v>
      </c>
      <c r="I7" s="6" t="s">
        <v>24</v>
      </c>
    </row>
    <row r="8" customFormat="false" ht="48" hidden="false" customHeight="true" outlineLevel="0" collapsed="false">
      <c r="A8" s="4" t="n">
        <v>4</v>
      </c>
      <c r="B8" s="9" t="s">
        <v>25</v>
      </c>
      <c r="C8" s="10" t="s">
        <v>26</v>
      </c>
      <c r="D8" s="11" t="s">
        <v>27</v>
      </c>
      <c r="E8" s="12" t="n">
        <f aca="false">350</f>
        <v>350</v>
      </c>
      <c r="F8" s="11" t="n">
        <v>270</v>
      </c>
      <c r="G8" s="11" t="n">
        <v>350</v>
      </c>
      <c r="H8" s="14" t="s">
        <v>23</v>
      </c>
      <c r="I8" s="10" t="s">
        <v>28</v>
      </c>
    </row>
    <row r="9" customFormat="false" ht="48" hidden="false" customHeight="true" outlineLevel="0" collapsed="false">
      <c r="A9" s="15" t="s">
        <v>29</v>
      </c>
      <c r="B9" s="16" t="s">
        <v>30</v>
      </c>
      <c r="C9" s="17" t="s">
        <v>31</v>
      </c>
      <c r="D9" s="18" t="s">
        <v>32</v>
      </c>
      <c r="E9" s="19"/>
      <c r="F9" s="18" t="n">
        <v>35</v>
      </c>
      <c r="G9" s="18" t="n">
        <v>80</v>
      </c>
      <c r="H9" s="20" t="s">
        <v>33</v>
      </c>
      <c r="I9" s="17" t="s">
        <v>34</v>
      </c>
    </row>
    <row r="10" customFormat="false" ht="48" hidden="false" customHeight="true" outlineLevel="0" collapsed="false">
      <c r="A10" s="4" t="n">
        <v>5</v>
      </c>
      <c r="B10" s="9" t="s">
        <v>35</v>
      </c>
      <c r="C10" s="10" t="s">
        <v>36</v>
      </c>
      <c r="D10" s="11" t="s">
        <v>37</v>
      </c>
      <c r="E10" s="12" t="n">
        <f aca="false">530</f>
        <v>530</v>
      </c>
      <c r="F10" s="11" t="n">
        <v>350</v>
      </c>
      <c r="G10" s="11" t="n">
        <v>530</v>
      </c>
      <c r="H10" s="14" t="s">
        <v>23</v>
      </c>
      <c r="I10" s="10" t="s">
        <v>38</v>
      </c>
    </row>
    <row r="11" customFormat="false" ht="48" hidden="false" customHeight="true" outlineLevel="0" collapsed="false">
      <c r="A11" s="4" t="n">
        <v>6</v>
      </c>
      <c r="B11" s="5" t="s">
        <v>39</v>
      </c>
      <c r="C11" s="6" t="s">
        <v>40</v>
      </c>
      <c r="D11" s="7" t="s">
        <v>41</v>
      </c>
      <c r="E11" s="8" t="n">
        <f aca="false">550</f>
        <v>550</v>
      </c>
      <c r="F11" s="7" t="n">
        <v>530</v>
      </c>
      <c r="G11" s="7" t="n">
        <v>550</v>
      </c>
      <c r="H11" s="7" t="s">
        <v>14</v>
      </c>
      <c r="I11" s="6" t="s">
        <v>42</v>
      </c>
    </row>
    <row r="12" customFormat="false" ht="48" hidden="false" customHeight="true" outlineLevel="0" collapsed="false">
      <c r="A12" s="4" t="n">
        <v>7</v>
      </c>
      <c r="B12" s="9" t="s">
        <v>43</v>
      </c>
      <c r="C12" s="10" t="s">
        <v>44</v>
      </c>
      <c r="D12" s="11" t="s">
        <v>45</v>
      </c>
      <c r="E12" s="12" t="n">
        <f aca="false">560</f>
        <v>560</v>
      </c>
      <c r="F12" s="11" t="n">
        <v>550</v>
      </c>
      <c r="G12" s="11" t="n">
        <v>560</v>
      </c>
      <c r="H12" s="11" t="s">
        <v>14</v>
      </c>
      <c r="I12" s="10" t="s">
        <v>46</v>
      </c>
    </row>
    <row r="13" customFormat="false" ht="48" hidden="false" customHeight="true" outlineLevel="0" collapsed="false">
      <c r="A13" s="4" t="n">
        <v>8</v>
      </c>
      <c r="B13" s="5" t="s">
        <v>47</v>
      </c>
      <c r="C13" s="6" t="s">
        <v>48</v>
      </c>
      <c r="D13" s="7" t="s">
        <v>18</v>
      </c>
      <c r="E13" s="8" t="n">
        <f aca="false">590</f>
        <v>590</v>
      </c>
      <c r="F13" s="7" t="n">
        <v>560</v>
      </c>
      <c r="G13" s="7" t="n">
        <v>590</v>
      </c>
      <c r="H13" s="7" t="s">
        <v>14</v>
      </c>
      <c r="I13" s="6" t="s">
        <v>49</v>
      </c>
    </row>
    <row r="15" customFormat="false" ht="7.5" hidden="false" customHeight="true" outlineLevel="0" collapsed="false"/>
    <row r="16" customFormat="false" ht="21.75" hidden="false" customHeight="true" outlineLevel="0" collapsed="false">
      <c r="A16" s="21" t="s">
        <v>50</v>
      </c>
      <c r="B16" s="21"/>
      <c r="C16" s="21"/>
      <c r="D16" s="22" t="s">
        <v>51</v>
      </c>
      <c r="E16" s="23" t="s">
        <v>52</v>
      </c>
      <c r="F16" s="23"/>
      <c r="G16" s="23"/>
      <c r="H16" s="23"/>
      <c r="I16" s="23"/>
    </row>
    <row r="18" customFormat="false" ht="15.75" hidden="false" customHeight="true" outlineLevel="0" collapsed="false">
      <c r="A18" s="24" t="s">
        <v>53</v>
      </c>
      <c r="B18" s="24"/>
    </row>
    <row r="19" customFormat="false" ht="15.75" hidden="false" customHeight="true" outlineLevel="0" collapsed="false">
      <c r="A19" s="25" t="s">
        <v>54</v>
      </c>
      <c r="B19" s="26" t="s">
        <v>55</v>
      </c>
      <c r="C19" s="27" t="s">
        <v>54</v>
      </c>
      <c r="D19" s="26" t="s">
        <v>56</v>
      </c>
      <c r="E19" s="28" t="s">
        <v>54</v>
      </c>
      <c r="F19" s="26" t="s">
        <v>57</v>
      </c>
      <c r="G19" s="29" t="s">
        <v>54</v>
      </c>
      <c r="H19" s="26" t="s">
        <v>58</v>
      </c>
    </row>
  </sheetData>
  <mergeCells count="5">
    <mergeCell ref="A1:I1"/>
    <mergeCell ref="A2:I2"/>
    <mergeCell ref="A16:C16"/>
    <mergeCell ref="E16:I16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6" min="3" style="0" width="18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30" t="s">
        <v>59</v>
      </c>
      <c r="B1" s="30"/>
      <c r="C1" s="30"/>
      <c r="D1" s="30"/>
      <c r="E1" s="30"/>
      <c r="F1" s="30"/>
      <c r="G1" s="30"/>
    </row>
    <row r="3" customFormat="false" ht="31.5" hidden="false" customHeight="true" outlineLevel="0" collapsed="false">
      <c r="A3" s="3" t="s">
        <v>2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</row>
    <row r="4" customFormat="false" ht="21.75" hidden="false" customHeight="true" outlineLevel="0" collapsed="false">
      <c r="A4" s="31" t="s">
        <v>66</v>
      </c>
      <c r="B4" s="5" t="s">
        <v>11</v>
      </c>
      <c r="C4" s="7" t="n">
        <v>15</v>
      </c>
      <c r="D4" s="7" t="n">
        <v>15</v>
      </c>
      <c r="E4" s="7" t="n">
        <v>15</v>
      </c>
      <c r="F4" s="7" t="n">
        <v>15</v>
      </c>
      <c r="G4" s="7" t="s">
        <v>67</v>
      </c>
    </row>
    <row r="5" customFormat="false" ht="21.75" hidden="false" customHeight="true" outlineLevel="0" collapsed="false">
      <c r="A5" s="32" t="s">
        <v>68</v>
      </c>
      <c r="B5" s="9" t="s">
        <v>16</v>
      </c>
      <c r="C5" s="11" t="n">
        <v>20</v>
      </c>
      <c r="D5" s="11" t="n">
        <v>30</v>
      </c>
      <c r="E5" s="11" t="n">
        <v>35</v>
      </c>
      <c r="F5" s="11" t="n">
        <v>45</v>
      </c>
      <c r="G5" s="11" t="s">
        <v>69</v>
      </c>
    </row>
    <row r="6" customFormat="false" ht="21.75" hidden="false" customHeight="true" outlineLevel="0" collapsed="false">
      <c r="A6" s="31" t="s">
        <v>70</v>
      </c>
      <c r="B6" s="5" t="s">
        <v>71</v>
      </c>
      <c r="C6" s="7" t="n">
        <v>150</v>
      </c>
      <c r="D6" s="7" t="n">
        <v>225</v>
      </c>
      <c r="E6" s="7" t="n">
        <v>185</v>
      </c>
      <c r="F6" s="7" t="n">
        <v>270</v>
      </c>
      <c r="G6" s="7" t="s">
        <v>72</v>
      </c>
    </row>
    <row r="7" customFormat="false" ht="21.75" hidden="false" customHeight="true" outlineLevel="0" collapsed="false">
      <c r="A7" s="33" t="s">
        <v>29</v>
      </c>
      <c r="B7" s="34" t="s">
        <v>73</v>
      </c>
      <c r="C7" s="18" t="n">
        <v>30</v>
      </c>
      <c r="D7" s="18" t="n">
        <v>45</v>
      </c>
      <c r="E7" s="18" t="s">
        <v>74</v>
      </c>
      <c r="F7" s="18" t="s">
        <v>74</v>
      </c>
      <c r="G7" s="18" t="s">
        <v>75</v>
      </c>
    </row>
    <row r="8" customFormat="false" ht="21.75" hidden="false" customHeight="true" outlineLevel="0" collapsed="false">
      <c r="A8" s="31" t="s">
        <v>76</v>
      </c>
      <c r="B8" s="5" t="s">
        <v>77</v>
      </c>
      <c r="C8" s="7" t="n">
        <v>40</v>
      </c>
      <c r="D8" s="7" t="n">
        <v>80</v>
      </c>
      <c r="E8" s="7" t="n">
        <v>225</v>
      </c>
      <c r="F8" s="7" t="n">
        <v>350</v>
      </c>
      <c r="G8" s="7"/>
    </row>
    <row r="9" customFormat="false" ht="21.75" hidden="false" customHeight="true" outlineLevel="0" collapsed="false">
      <c r="A9" s="32" t="s">
        <v>78</v>
      </c>
      <c r="B9" s="9" t="s">
        <v>79</v>
      </c>
      <c r="C9" s="11" t="n">
        <v>180</v>
      </c>
      <c r="D9" s="11" t="n">
        <v>180</v>
      </c>
      <c r="E9" s="11" t="n">
        <v>405</v>
      </c>
      <c r="F9" s="11" t="n">
        <v>530</v>
      </c>
      <c r="G9" s="11" t="s">
        <v>80</v>
      </c>
    </row>
    <row r="10" customFormat="false" ht="21.75" hidden="false" customHeight="true" outlineLevel="0" collapsed="false">
      <c r="A10" s="31" t="s">
        <v>81</v>
      </c>
      <c r="B10" s="5" t="s">
        <v>82</v>
      </c>
      <c r="C10" s="7" t="n">
        <v>15</v>
      </c>
      <c r="D10" s="7" t="n">
        <v>20</v>
      </c>
      <c r="E10" s="7" t="n">
        <v>420</v>
      </c>
      <c r="F10" s="7" t="n">
        <v>550</v>
      </c>
      <c r="G10" s="7"/>
    </row>
    <row r="11" customFormat="false" ht="21.75" hidden="false" customHeight="true" outlineLevel="0" collapsed="false">
      <c r="A11" s="32" t="s">
        <v>83</v>
      </c>
      <c r="B11" s="9" t="s">
        <v>43</v>
      </c>
      <c r="C11" s="11" t="n">
        <v>10</v>
      </c>
      <c r="D11" s="11" t="n">
        <v>10</v>
      </c>
      <c r="E11" s="11" t="n">
        <v>430</v>
      </c>
      <c r="F11" s="11" t="n">
        <v>560</v>
      </c>
      <c r="G11" s="11"/>
    </row>
    <row r="12" customFormat="false" ht="21.75" hidden="false" customHeight="true" outlineLevel="0" collapsed="false">
      <c r="A12" s="31" t="s">
        <v>84</v>
      </c>
      <c r="B12" s="5" t="s">
        <v>47</v>
      </c>
      <c r="C12" s="7" t="n">
        <v>20</v>
      </c>
      <c r="D12" s="7" t="n">
        <v>30</v>
      </c>
      <c r="E12" s="7" t="n">
        <v>450</v>
      </c>
      <c r="F12" s="7" t="n">
        <v>590</v>
      </c>
      <c r="G12" s="7" t="s">
        <v>85</v>
      </c>
    </row>
    <row r="14" customFormat="false" ht="21.75" hidden="false" customHeight="true" outlineLevel="0" collapsed="false">
      <c r="A14" s="21" t="s">
        <v>86</v>
      </c>
      <c r="B14" s="21"/>
      <c r="C14" s="35" t="n">
        <v>250</v>
      </c>
      <c r="D14" s="35" t="n">
        <v>590</v>
      </c>
      <c r="E14" s="35" t="n">
        <v>250</v>
      </c>
      <c r="F14" s="35" t="n">
        <v>590</v>
      </c>
      <c r="G14" s="35" t="s">
        <v>87</v>
      </c>
    </row>
  </sheetData>
  <mergeCells count="2">
    <mergeCell ref="A1:G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2026-05-23T12:41:29Z</dcterms:created>
  <dc:creator>openpyxl</dc:creator>
  <dc:description/>
  <dc:language>en-US</dc:language>
  <cp:lastModifiedBy/>
  <dcterms:modified xsi:type="dcterms:W3CDTF">2026-05-23T12:41:29Z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